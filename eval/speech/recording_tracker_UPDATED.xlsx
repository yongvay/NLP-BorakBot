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f1b90adfd258d7a/桌面/NLP-BorakBot/eval/speech/"/>
    </mc:Choice>
  </mc:AlternateContent>
  <xr:revisionPtr revIDLastSave="1" documentId="11_3B8559CAFF1642105C980BF8A5761893DF748013" xr6:coauthVersionLast="47" xr6:coauthVersionMax="47" xr10:uidLastSave="{0315D3DB-02E5-4D14-B9C2-A2A4B1090703}"/>
  <bookViews>
    <workbookView xWindow="-110" yWindow="-110" windowWidth="21820" windowHeight="13900" tabRatio="500" activeTab="2" xr2:uid="{00000000-000D-0000-FFFF-FFFF00000000}"/>
  </bookViews>
  <sheets>
    <sheet name="Reference" sheetId="1" r:id="rId1"/>
    <sheet name="Yong Vay" sheetId="2" r:id="rId2"/>
    <sheet name="Pei Qi" sheetId="3" r:id="rId3"/>
    <sheet name="Phase 2 (reserve)" sheetId="4" r:id="rId4"/>
  </sheets>
  <definedNames>
    <definedName name="_xlnm._FilterDatabase" localSheetId="2" hidden="1">'Pei Qi'!$A$6:$H$30</definedName>
    <definedName name="_xlnm._FilterDatabase" localSheetId="3" hidden="1">'Phase 2 (reserve)'!$A$6:$H$54</definedName>
    <definedName name="_xlnm._FilterDatabase" localSheetId="1" hidden="1">'Yong Vay'!$A$6:$H$30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6" i="4" l="1"/>
  <c r="B32" i="3"/>
  <c r="B32" i="2"/>
</calcChain>
</file>

<file path=xl/sharedStrings.xml><?xml version="1.0" encoding="utf-8"?>
<sst xmlns="http://schemas.openxmlformats.org/spreadsheetml/2006/main" count="566" uniqueCount="292">
  <si>
    <t>BorakBot — speech test set</t>
  </si>
  <si>
    <t>Numbers</t>
  </si>
  <si>
    <t>Say numbers EXACTLY as spelled in the reference. 4 numeric sentences use Malay</t>
  </si>
  <si>
    <t>numerals and 4 use English -- deliberate, so numeral language becomes a measured</t>
  </si>
  <si>
    <t>variable. Writing RM45.90 but saying 'empat puluh lima ringgit' would score a perfect</t>
  </si>
  <si>
    <t>transcription as ~8 errors, which is why references are written as spoken.</t>
  </si>
  <si>
    <t>Format</t>
  </si>
  <si>
    <t>16 kHz mono WAV. Record in manifest order, then:</t>
  </si>
  <si>
    <t>python scripts/prepare_audio.py --speaker yv --raw "...\my_raw"</t>
  </si>
  <si>
    <t>Design</t>
  </si>
  <si>
    <t>48 sentences x 6 categories. Phase 1 = 24 each, split WITHIN each category</t>
  </si>
  <si>
    <t>(4 per speaker per category) so switch_type is never confounded with speaker.</t>
  </si>
  <si>
    <t>Category</t>
  </si>
  <si>
    <t>What it tests</t>
  </si>
  <si>
    <t>ms_dom</t>
  </si>
  <si>
    <t>Malay matrix sentence, English word inserted</t>
  </si>
  <si>
    <t>en_dom</t>
  </si>
  <si>
    <t>English matrix sentence, Malay discourse particles</t>
  </si>
  <si>
    <t>balanced</t>
  </si>
  <si>
    <t>True intra-sentential code-switching</t>
  </si>
  <si>
    <t>particles</t>
  </si>
  <si>
    <t>Discourse particles: lah / lor / meh / kan / kot</t>
  </si>
  <si>
    <t>numeric</t>
  </si>
  <si>
    <t>Prices, percentages, dates -- both numeral languages</t>
  </si>
  <si>
    <t>entity</t>
  </si>
  <si>
    <t>Malaysian named entities: MyJPJ, KWSP, LHDN, TNB</t>
  </si>
  <si>
    <t>Prediction</t>
  </si>
  <si>
    <t>Proposal S5.6: Whisper commits to one language per segment, so 'balanced'</t>
  </si>
  <si>
    <t>and 'particles' should score worst. Confirming that is the finding.</t>
  </si>
  <si>
    <t>Git</t>
  </si>
  <si>
    <t>Commit manifest.csv and results.csv. Never commit audio/ -- keep it in Drive.</t>
  </si>
  <si>
    <t>Recording list — Yong Vay</t>
  </si>
  <si>
    <t>24 utterances, phase 1. Normal pace, quiet room, do not over-enunciate.</t>
  </si>
  <si>
    <t>Read the "reference" column EXACTLY as written -- numbers are spelled out on purpose.</t>
  </si>
  <si>
    <t>Fill only the yellow columns. Record in this order -- prepare_audio.py pairs by position.</t>
  </si>
  <si>
    <t>id</t>
  </si>
  <si>
    <t>reference</t>
  </si>
  <si>
    <t>switch_type</t>
  </si>
  <si>
    <t>numeral_lang</t>
  </si>
  <si>
    <t>phase</t>
  </si>
  <si>
    <t>audio_path</t>
  </si>
  <si>
    <t>recorded</t>
  </si>
  <si>
    <t>notes</t>
  </si>
  <si>
    <t>s01_yv</t>
  </si>
  <si>
    <t>macam mana nak apply lesen memandu baru</t>
  </si>
  <si>
    <t>1</t>
  </si>
  <si>
    <t>audio/s01_ms_dom_yv.wav</t>
  </si>
  <si>
    <t>s02_yv</t>
  </si>
  <si>
    <t>saya nak tanya pasal insurance kereta ni</t>
  </si>
  <si>
    <t>audio/s02_ms_dom_yv.wav</t>
  </si>
  <si>
    <t>s03_yv</t>
  </si>
  <si>
    <t>boleh tak awak explain apa itu inflation</t>
  </si>
  <si>
    <t>audio/s03_ms_dom_yv.wav</t>
  </si>
  <si>
    <t>s04_yv</t>
  </si>
  <si>
    <t>nak cari tempat makan yang murah dekat sini</t>
  </si>
  <si>
    <t>audio/s04_ms_dom_yv.wav</t>
  </si>
  <si>
    <t>s09_yv</t>
  </si>
  <si>
    <t>how do i check my epf balance ah</t>
  </si>
  <si>
    <t>audio/s09_en_dom_yv.wav</t>
  </si>
  <si>
    <t>s10_yv</t>
  </si>
  <si>
    <t>can you explain what is compound interest lah</t>
  </si>
  <si>
    <t>audio/s10_en_dom_yv.wav</t>
  </si>
  <si>
    <t>s11_yv</t>
  </si>
  <si>
    <t>where can i find cheap flight ticket meh</t>
  </si>
  <si>
    <t>audio/s11_en_dom_yv.wav</t>
  </si>
  <si>
    <t>s12_yv</t>
  </si>
  <si>
    <t>i want to know how to save money properly one</t>
  </si>
  <si>
    <t>audio/s12_en_dom_yv.wav</t>
  </si>
  <si>
    <t>s17_yv</t>
  </si>
  <si>
    <t>saya dah submit application tapi belum dapat approval lagi</t>
  </si>
  <si>
    <t>audio/s17_balanced_yv.wav</t>
  </si>
  <si>
    <t>s18_yv</t>
  </si>
  <si>
    <t>nak tanya pasal tax relief untuk medical expenses</t>
  </si>
  <si>
    <t>audio/s18_balanced_yv.wav</t>
  </si>
  <si>
    <t>s19_yv</t>
  </si>
  <si>
    <t>macam mana nak cancel subscription yang auto renew tu</t>
  </si>
  <si>
    <t>audio/s19_balanced_yv.wav</t>
  </si>
  <si>
    <t>s20_yv</t>
  </si>
  <si>
    <t>boleh tak explain difference antara savings dengan current account</t>
  </si>
  <si>
    <t>audio/s20_balanced_yv.wav</t>
  </si>
  <si>
    <t>s25_yv</t>
  </si>
  <si>
    <t>eh betul ke ni macam tak kena je lor</t>
  </si>
  <si>
    <t>audio/s25_particles_yv.wav</t>
  </si>
  <si>
    <t>s26_yv</t>
  </si>
  <si>
    <t>aiyo susah sangat lah macam ni</t>
  </si>
  <si>
    <t>audio/s26_particles_yv.wav</t>
  </si>
  <si>
    <t>s27_yv</t>
  </si>
  <si>
    <t>can one lah don't worry so much</t>
  </si>
  <si>
    <t>audio/s27_particles_yv.wav</t>
  </si>
  <si>
    <t>s28_yv</t>
  </si>
  <si>
    <t>wah mahal gila meh ada yang murah tak</t>
  </si>
  <si>
    <t>audio/s28_particles_yv.wav</t>
  </si>
  <si>
    <t>s33_yv</t>
  </si>
  <si>
    <t>harga dia empat puluh lima ringgit sembilan puluh sen termasuk cukai ke tak</t>
  </si>
  <si>
    <t>malay numerals</t>
  </si>
  <si>
    <t>audio/s33_numeric_yv.wav</t>
  </si>
  <si>
    <t>s34_yv</t>
  </si>
  <si>
    <t>gaji minimum sekarang seribu lima ratus ringgit ke ah</t>
  </si>
  <si>
    <t>audio/s34_numeric_yv.wav</t>
  </si>
  <si>
    <t>s35_yv</t>
  </si>
  <si>
    <t>saya nak transfer one thousand five hundred ringgit boleh tak</t>
  </si>
  <si>
    <t>english numerals</t>
  </si>
  <si>
    <t>audio/s35_numeric_yv.wav</t>
  </si>
  <si>
    <t>s36_yv</t>
  </si>
  <si>
    <t>deadline dia thirty one august twenty twenty six kan</t>
  </si>
  <si>
    <t>audio/s36_numeric_yv.wav</t>
  </si>
  <si>
    <t>s41_yv</t>
  </si>
  <si>
    <t>macam mana nak renew roadtax kat MyJPJ</t>
  </si>
  <si>
    <t>audio/s41_entity_yv.wav</t>
  </si>
  <si>
    <t>s42_yv</t>
  </si>
  <si>
    <t>boleh guna Touch n Go eWallet tak kat sini</t>
  </si>
  <si>
    <t>audio/s42_entity_yv.wav</t>
  </si>
  <si>
    <t>s43_yv</t>
  </si>
  <si>
    <t>saya nak semak baki KWSP guna i-Akaun</t>
  </si>
  <si>
    <t>audio/s43_entity_yv.wav</t>
  </si>
  <si>
    <t>s44_yv</t>
  </si>
  <si>
    <t>LHDN dah buka e-Filing untuk tahun ni ke</t>
  </si>
  <si>
    <t>audio/s44_entity_yv.wav</t>
  </si>
  <si>
    <t>Recorded:</t>
  </si>
  <si>
    <t>Recording list — Pei Qi</t>
  </si>
  <si>
    <t>s05_pq</t>
  </si>
  <si>
    <t>camne nak transfer duit guna online banking</t>
  </si>
  <si>
    <t>audio/s05_ms_dom_pq.wav</t>
  </si>
  <si>
    <t>s06_pq</t>
  </si>
  <si>
    <t>saya lupa password akaun macam mana nak reset</t>
  </si>
  <si>
    <t>audio/s06_ms_dom_pq.wav</t>
  </si>
  <si>
    <t>s07_pq</t>
  </si>
  <si>
    <t>berapa lama proses renew passport ambil masa</t>
  </si>
  <si>
    <t>audio/s07_ms_dom_pq.wav</t>
  </si>
  <si>
    <t>s08_pq</t>
  </si>
  <si>
    <t>tolong bagitahu cara nak book appointment klinik</t>
  </si>
  <si>
    <t>audio/s08_ms_dom_pq.wav</t>
  </si>
  <si>
    <t>s13_pq</t>
  </si>
  <si>
    <t>is it safe to invest in unit trust ke</t>
  </si>
  <si>
    <t>audio/s13_en_dom_pq.wav</t>
  </si>
  <si>
    <t>s14_pq</t>
  </si>
  <si>
    <t>tell me how to cook nasi lemak lah</t>
  </si>
  <si>
    <t>audio/s14_en_dom_pq.wav</t>
  </si>
  <si>
    <t>s15_pq</t>
  </si>
  <si>
    <t>what time the post office close ah</t>
  </si>
  <si>
    <t>audio/s15_en_dom_pq.wav</t>
  </si>
  <si>
    <t>s16_pq</t>
  </si>
  <si>
    <t>can i renew my licence online or not</t>
  </si>
  <si>
    <t>audio/s16_en_dom_pq.wav</t>
  </si>
  <si>
    <t>s21_pq</t>
  </si>
  <si>
    <t>saya nak update alamat kat identity card</t>
  </si>
  <si>
    <t>audio/s21_balanced_pq.wav</t>
  </si>
  <si>
    <t>s22_pq</t>
  </si>
  <si>
    <t>camne nak claim insurance kalau accident kereta</t>
  </si>
  <si>
    <t>audio/s22_balanced_pq.wav</t>
  </si>
  <si>
    <t>s23_pq</t>
  </si>
  <si>
    <t>nak tahu requirement untuk apply credit card</t>
  </si>
  <si>
    <t>audio/s23_balanced_pq.wav</t>
  </si>
  <si>
    <t>s24_pq</t>
  </si>
  <si>
    <t>tolong terangkan macam mana interest rate affect loan</t>
  </si>
  <si>
    <t>audio/s24_balanced_pq.wav</t>
  </si>
  <si>
    <t>s29_pq</t>
  </si>
  <si>
    <t>so how ah nak buat macam mana ni</t>
  </si>
  <si>
    <t>audio/s29_particles_pq.wav</t>
  </si>
  <si>
    <t>s30_pq</t>
  </si>
  <si>
    <t>alamak terlupa pulak kan boleh tolong tak</t>
  </si>
  <si>
    <t>audio/s30_particles_pq.wav</t>
  </si>
  <si>
    <t>s31_pq</t>
  </si>
  <si>
    <t>ish lambat betul lah service ni</t>
  </si>
  <si>
    <t>audio/s31_particles_pq.wav</t>
  </si>
  <si>
    <t>s32_pq</t>
  </si>
  <si>
    <t>okay lah fine saya try dulu kot</t>
  </si>
  <si>
    <t>audio/s32_particles_pq.wav</t>
  </si>
  <si>
    <t>s37_pq</t>
  </si>
  <si>
    <t>interest rate dia three point five percent setahun je</t>
  </si>
  <si>
    <t>audio/s37_numeric_pq.wav</t>
  </si>
  <si>
    <t>s38_pq</t>
  </si>
  <si>
    <t>kena bayar deposit dua ribu lima ratus ringgit</t>
  </si>
  <si>
    <t>audio/s38_numeric_pq.wav</t>
  </si>
  <si>
    <t>s39_pq</t>
  </si>
  <si>
    <t>cukai jualan naik dari enam peratus ke lapan peratus ke</t>
  </si>
  <si>
    <t>audio/s39_numeric_pq.wav</t>
  </si>
  <si>
    <t>s40_pq</t>
  </si>
  <si>
    <t>buka pukul nine in the morning tutup pukul five in the evening kan</t>
  </si>
  <si>
    <t>audio/s40_numeric_pq.wav</t>
  </si>
  <si>
    <t>s45_pq</t>
  </si>
  <si>
    <t>nak apply MyKad baru kat JPN macam mana</t>
  </si>
  <si>
    <t>audio/s45_entity_pq.wav</t>
  </si>
  <si>
    <t>s46_pq</t>
  </si>
  <si>
    <t>boleh bayar bil TNB guna Maybank2u tak</t>
  </si>
  <si>
    <t>audio/s46_entity_pq.wav</t>
  </si>
  <si>
    <t>s47_pq</t>
  </si>
  <si>
    <t>Grab dengan foodpanda mana lagi murah ah</t>
  </si>
  <si>
    <t>audio/s47_entity_pq.wav</t>
  </si>
  <si>
    <t>s48_pq</t>
  </si>
  <si>
    <t>nak tanya pasal bantuan STR tahun ni</t>
  </si>
  <si>
    <t>audio/s48_entity_pq.wav</t>
  </si>
  <si>
    <t>Phase 2 — reserve</t>
  </si>
  <si>
    <t>Record only if a category comes out close, or for paired speaker analysis.</t>
  </si>
  <si>
    <t>s01_pq</t>
  </si>
  <si>
    <t>2</t>
  </si>
  <si>
    <t>audio/s01_ms_dom_pq.wav</t>
  </si>
  <si>
    <t>s02_pq</t>
  </si>
  <si>
    <t>audio/s02_ms_dom_pq.wav</t>
  </si>
  <si>
    <t>s03_pq</t>
  </si>
  <si>
    <t>audio/s03_ms_dom_pq.wav</t>
  </si>
  <si>
    <t>s04_pq</t>
  </si>
  <si>
    <t>audio/s04_ms_dom_pq.wav</t>
  </si>
  <si>
    <t>s05_yv</t>
  </si>
  <si>
    <t>audio/s05_ms_dom_yv.wav</t>
  </si>
  <si>
    <t>s06_yv</t>
  </si>
  <si>
    <t>audio/s06_ms_dom_yv.wav</t>
  </si>
  <si>
    <t>s07_yv</t>
  </si>
  <si>
    <t>audio/s07_ms_dom_yv.wav</t>
  </si>
  <si>
    <t>s08_yv</t>
  </si>
  <si>
    <t>audio/s08_ms_dom_yv.wav</t>
  </si>
  <si>
    <t>s09_pq</t>
  </si>
  <si>
    <t>audio/s09_en_dom_pq.wav</t>
  </si>
  <si>
    <t>s10_pq</t>
  </si>
  <si>
    <t>audio/s10_en_dom_pq.wav</t>
  </si>
  <si>
    <t>s11_pq</t>
  </si>
  <si>
    <t>audio/s11_en_dom_pq.wav</t>
  </si>
  <si>
    <t>s12_pq</t>
  </si>
  <si>
    <t>audio/s12_en_dom_pq.wav</t>
  </si>
  <si>
    <t>s13_yv</t>
  </si>
  <si>
    <t>audio/s13_en_dom_yv.wav</t>
  </si>
  <si>
    <t>s14_yv</t>
  </si>
  <si>
    <t>audio/s14_en_dom_yv.wav</t>
  </si>
  <si>
    <t>s15_yv</t>
  </si>
  <si>
    <t>audio/s15_en_dom_yv.wav</t>
  </si>
  <si>
    <t>s16_yv</t>
  </si>
  <si>
    <t>audio/s16_en_dom_yv.wav</t>
  </si>
  <si>
    <t>s17_pq</t>
  </si>
  <si>
    <t>audio/s17_balanced_pq.wav</t>
  </si>
  <si>
    <t>s18_pq</t>
  </si>
  <si>
    <t>audio/s18_balanced_pq.wav</t>
  </si>
  <si>
    <t>s19_pq</t>
  </si>
  <si>
    <t>audio/s19_balanced_pq.wav</t>
  </si>
  <si>
    <t>s20_pq</t>
  </si>
  <si>
    <t>audio/s20_balanced_pq.wav</t>
  </si>
  <si>
    <t>s21_yv</t>
  </si>
  <si>
    <t>audio/s21_balanced_yv.wav</t>
  </si>
  <si>
    <t>s22_yv</t>
  </si>
  <si>
    <t>audio/s22_balanced_yv.wav</t>
  </si>
  <si>
    <t>s23_yv</t>
  </si>
  <si>
    <t>audio/s23_balanced_yv.wav</t>
  </si>
  <si>
    <t>s24_yv</t>
  </si>
  <si>
    <t>audio/s24_balanced_yv.wav</t>
  </si>
  <si>
    <t>s25_pq</t>
  </si>
  <si>
    <t>audio/s25_particles_pq.wav</t>
  </si>
  <si>
    <t>s26_pq</t>
  </si>
  <si>
    <t>audio/s26_particles_pq.wav</t>
  </si>
  <si>
    <t>s27_pq</t>
  </si>
  <si>
    <t>audio/s27_particles_pq.wav</t>
  </si>
  <si>
    <t>s28_pq</t>
  </si>
  <si>
    <t>audio/s28_particles_pq.wav</t>
  </si>
  <si>
    <t>s29_yv</t>
  </si>
  <si>
    <t>audio/s29_particles_yv.wav</t>
  </si>
  <si>
    <t>s30_yv</t>
  </si>
  <si>
    <t>audio/s30_particles_yv.wav</t>
  </si>
  <si>
    <t>s31_yv</t>
  </si>
  <si>
    <t>audio/s31_particles_yv.wav</t>
  </si>
  <si>
    <t>s32_yv</t>
  </si>
  <si>
    <t>audio/s32_particles_yv.wav</t>
  </si>
  <si>
    <t>s33_pq</t>
  </si>
  <si>
    <t>audio/s33_numeric_pq.wav</t>
  </si>
  <si>
    <t>s34_pq</t>
  </si>
  <si>
    <t>audio/s34_numeric_pq.wav</t>
  </si>
  <si>
    <t>s35_pq</t>
  </si>
  <si>
    <t>audio/s35_numeric_pq.wav</t>
  </si>
  <si>
    <t>s36_pq</t>
  </si>
  <si>
    <t>audio/s36_numeric_pq.wav</t>
  </si>
  <si>
    <t>s37_yv</t>
  </si>
  <si>
    <t>audio/s37_numeric_yv.wav</t>
  </si>
  <si>
    <t>s38_yv</t>
  </si>
  <si>
    <t>audio/s38_numeric_yv.wav</t>
  </si>
  <si>
    <t>s39_yv</t>
  </si>
  <si>
    <t>audio/s39_numeric_yv.wav</t>
  </si>
  <si>
    <t>s40_yv</t>
  </si>
  <si>
    <t>audio/s40_numeric_yv.wav</t>
  </si>
  <si>
    <t>s41_pq</t>
  </si>
  <si>
    <t>audio/s41_entity_pq.wav</t>
  </si>
  <si>
    <t>s42_pq</t>
  </si>
  <si>
    <t>audio/s42_entity_pq.wav</t>
  </si>
  <si>
    <t>s43_pq</t>
  </si>
  <si>
    <t>audio/s43_entity_pq.wav</t>
  </si>
  <si>
    <t>s44_pq</t>
  </si>
  <si>
    <t>audio/s44_entity_pq.wav</t>
  </si>
  <si>
    <t>s45_yv</t>
  </si>
  <si>
    <t>audio/s45_entity_yv.wav</t>
  </si>
  <si>
    <t>s46_yv</t>
  </si>
  <si>
    <t>audio/s46_entity_yv.wav</t>
  </si>
  <si>
    <t>s47_yv</t>
  </si>
  <si>
    <t>audio/s47_entity_yv.wav</t>
  </si>
  <si>
    <t>s48_yv</t>
  </si>
  <si>
    <t>audio/s48_entity_yv.wav</t>
  </si>
  <si>
    <t>alamak terlupa pulak kan boleh tolong tak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</si>
</sst>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1F3864"/>
      <name val="Arial"/>
      <charset val="1"/>
    </font>
    <font>
      <sz val="9"/>
      <name val="DengXian"/>
      <family val="3"/>
      <charset val="13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0" borderId="0" xfId="0" applyFont="1"/>
    <xf numFmtId="0" fontId="10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zoomScaleNormal="100" workbookViewId="0"/>
  </sheetViews>
  <sheetFormatPr defaultColWidth="8.6328125" defaultRowHeight="14.5" x14ac:dyDescent="0.35"/>
  <cols>
    <col min="1" max="1" width="14" customWidth="1"/>
    <col min="2" max="2" width="95" customWidth="1"/>
  </cols>
  <sheetData>
    <row r="1" spans="1:2" ht="16.5" x14ac:dyDescent="0.35">
      <c r="A1" s="1" t="s">
        <v>0</v>
      </c>
    </row>
    <row r="2" spans="1:2" x14ac:dyDescent="0.35">
      <c r="A2" s="2"/>
      <c r="B2" s="2"/>
    </row>
    <row r="3" spans="1:2" x14ac:dyDescent="0.35">
      <c r="A3" s="3" t="s">
        <v>1</v>
      </c>
      <c r="B3" s="2" t="s">
        <v>2</v>
      </c>
    </row>
    <row r="4" spans="1:2" x14ac:dyDescent="0.35">
      <c r="A4" s="2"/>
      <c r="B4" s="2" t="s">
        <v>3</v>
      </c>
    </row>
    <row r="5" spans="1:2" x14ac:dyDescent="0.35">
      <c r="A5" s="2"/>
      <c r="B5" s="2" t="s">
        <v>4</v>
      </c>
    </row>
    <row r="6" spans="1:2" x14ac:dyDescent="0.35">
      <c r="A6" s="2"/>
      <c r="B6" s="2" t="s">
        <v>5</v>
      </c>
    </row>
    <row r="7" spans="1:2" x14ac:dyDescent="0.35">
      <c r="A7" s="2"/>
      <c r="B7" s="2"/>
    </row>
    <row r="8" spans="1:2" x14ac:dyDescent="0.35">
      <c r="A8" s="3" t="s">
        <v>6</v>
      </c>
      <c r="B8" s="2" t="s">
        <v>7</v>
      </c>
    </row>
    <row r="9" spans="1:2" x14ac:dyDescent="0.35">
      <c r="A9" s="2"/>
      <c r="B9" s="2" t="s">
        <v>8</v>
      </c>
    </row>
    <row r="10" spans="1:2" x14ac:dyDescent="0.35">
      <c r="A10" s="2"/>
      <c r="B10" s="2"/>
    </row>
    <row r="11" spans="1:2" x14ac:dyDescent="0.35">
      <c r="A11" s="3" t="s">
        <v>9</v>
      </c>
      <c r="B11" s="2" t="s">
        <v>10</v>
      </c>
    </row>
    <row r="12" spans="1:2" x14ac:dyDescent="0.35">
      <c r="A12" s="2"/>
      <c r="B12" s="2" t="s">
        <v>11</v>
      </c>
    </row>
    <row r="13" spans="1:2" x14ac:dyDescent="0.35">
      <c r="A13" s="2"/>
      <c r="B13" s="2"/>
    </row>
    <row r="14" spans="1:2" x14ac:dyDescent="0.35">
      <c r="A14" s="3" t="s">
        <v>12</v>
      </c>
      <c r="B14" s="2" t="s">
        <v>13</v>
      </c>
    </row>
    <row r="15" spans="1:2" x14ac:dyDescent="0.35">
      <c r="A15" s="3" t="s">
        <v>14</v>
      </c>
      <c r="B15" s="2" t="s">
        <v>15</v>
      </c>
    </row>
    <row r="16" spans="1:2" x14ac:dyDescent="0.35">
      <c r="A16" s="3" t="s">
        <v>16</v>
      </c>
      <c r="B16" s="2" t="s">
        <v>17</v>
      </c>
    </row>
    <row r="17" spans="1:2" x14ac:dyDescent="0.35">
      <c r="A17" s="3" t="s">
        <v>18</v>
      </c>
      <c r="B17" s="2" t="s">
        <v>19</v>
      </c>
    </row>
    <row r="18" spans="1:2" x14ac:dyDescent="0.35">
      <c r="A18" s="3" t="s">
        <v>20</v>
      </c>
      <c r="B18" s="2" t="s">
        <v>21</v>
      </c>
    </row>
    <row r="19" spans="1:2" x14ac:dyDescent="0.35">
      <c r="A19" s="3" t="s">
        <v>22</v>
      </c>
      <c r="B19" s="2" t="s">
        <v>23</v>
      </c>
    </row>
    <row r="20" spans="1:2" x14ac:dyDescent="0.35">
      <c r="A20" s="3" t="s">
        <v>24</v>
      </c>
      <c r="B20" s="2" t="s">
        <v>25</v>
      </c>
    </row>
    <row r="21" spans="1:2" x14ac:dyDescent="0.35">
      <c r="A21" s="2"/>
      <c r="B21" s="2"/>
    </row>
    <row r="22" spans="1:2" x14ac:dyDescent="0.35">
      <c r="A22" s="3" t="s">
        <v>26</v>
      </c>
      <c r="B22" s="2" t="s">
        <v>27</v>
      </c>
    </row>
    <row r="23" spans="1:2" x14ac:dyDescent="0.35">
      <c r="A23" s="2"/>
      <c r="B23" s="2" t="s">
        <v>28</v>
      </c>
    </row>
    <row r="24" spans="1:2" x14ac:dyDescent="0.35">
      <c r="A24" s="2"/>
      <c r="B24" s="2"/>
    </row>
    <row r="25" spans="1:2" x14ac:dyDescent="0.35">
      <c r="A25" s="3" t="s">
        <v>29</v>
      </c>
      <c r="B25" s="2" t="s">
        <v>30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62" customWidth="1"/>
    <col min="3" max="3" width="12" customWidth="1"/>
    <col min="4" max="4" width="16" customWidth="1"/>
    <col min="5" max="5" width="7" customWidth="1"/>
    <col min="6" max="6" width="32" customWidth="1"/>
    <col min="7" max="7" width="11" customWidth="1"/>
    <col min="8" max="8" width="24" customWidth="1"/>
  </cols>
  <sheetData>
    <row r="1" spans="1:8" ht="16.5" x14ac:dyDescent="0.35">
      <c r="A1" s="1" t="s">
        <v>31</v>
      </c>
    </row>
    <row r="2" spans="1:8" x14ac:dyDescent="0.35">
      <c r="A2" s="4" t="s">
        <v>32</v>
      </c>
    </row>
    <row r="3" spans="1:8" x14ac:dyDescent="0.35">
      <c r="A3" s="5" t="s">
        <v>33</v>
      </c>
    </row>
    <row r="4" spans="1:8" x14ac:dyDescent="0.35">
      <c r="A4" s="4" t="s">
        <v>34</v>
      </c>
    </row>
    <row r="6" spans="1:8" x14ac:dyDescent="0.35">
      <c r="A6" s="6" t="s">
        <v>35</v>
      </c>
      <c r="B6" s="6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6" t="s">
        <v>42</v>
      </c>
    </row>
    <row r="7" spans="1:8" ht="15.75" customHeight="1" x14ac:dyDescent="0.35">
      <c r="A7" s="7" t="s">
        <v>43</v>
      </c>
      <c r="B7" s="8" t="s">
        <v>44</v>
      </c>
      <c r="C7" s="7" t="s">
        <v>14</v>
      </c>
      <c r="D7" s="7"/>
      <c r="E7" s="7" t="s">
        <v>45</v>
      </c>
      <c r="F7" s="9" t="s">
        <v>46</v>
      </c>
      <c r="G7" s="10"/>
      <c r="H7" s="11"/>
    </row>
    <row r="8" spans="1:8" ht="15.75" customHeight="1" x14ac:dyDescent="0.35">
      <c r="A8" s="7" t="s">
        <v>47</v>
      </c>
      <c r="B8" s="8" t="s">
        <v>48</v>
      </c>
      <c r="C8" s="7" t="s">
        <v>14</v>
      </c>
      <c r="D8" s="7"/>
      <c r="E8" s="7" t="s">
        <v>45</v>
      </c>
      <c r="F8" s="9" t="s">
        <v>49</v>
      </c>
      <c r="G8" s="10"/>
      <c r="H8" s="11"/>
    </row>
    <row r="9" spans="1:8" ht="15.75" customHeight="1" x14ac:dyDescent="0.35">
      <c r="A9" s="7" t="s">
        <v>50</v>
      </c>
      <c r="B9" s="8" t="s">
        <v>51</v>
      </c>
      <c r="C9" s="7" t="s">
        <v>14</v>
      </c>
      <c r="D9" s="7"/>
      <c r="E9" s="7" t="s">
        <v>45</v>
      </c>
      <c r="F9" s="9" t="s">
        <v>52</v>
      </c>
      <c r="G9" s="10"/>
      <c r="H9" s="11"/>
    </row>
    <row r="10" spans="1:8" ht="15.75" customHeight="1" x14ac:dyDescent="0.35">
      <c r="A10" s="7" t="s">
        <v>53</v>
      </c>
      <c r="B10" s="8" t="s">
        <v>54</v>
      </c>
      <c r="C10" s="7" t="s">
        <v>14</v>
      </c>
      <c r="D10" s="7"/>
      <c r="E10" s="7" t="s">
        <v>45</v>
      </c>
      <c r="F10" s="9" t="s">
        <v>55</v>
      </c>
      <c r="G10" s="10"/>
      <c r="H10" s="11"/>
    </row>
    <row r="11" spans="1:8" ht="15.75" customHeight="1" x14ac:dyDescent="0.35">
      <c r="A11" s="7" t="s">
        <v>56</v>
      </c>
      <c r="B11" s="8" t="s">
        <v>57</v>
      </c>
      <c r="C11" s="7" t="s">
        <v>16</v>
      </c>
      <c r="D11" s="7"/>
      <c r="E11" s="7" t="s">
        <v>45</v>
      </c>
      <c r="F11" s="9" t="s">
        <v>58</v>
      </c>
      <c r="G11" s="10"/>
      <c r="H11" s="11"/>
    </row>
    <row r="12" spans="1:8" ht="15.75" customHeight="1" x14ac:dyDescent="0.35">
      <c r="A12" s="7" t="s">
        <v>59</v>
      </c>
      <c r="B12" s="8" t="s">
        <v>60</v>
      </c>
      <c r="C12" s="7" t="s">
        <v>16</v>
      </c>
      <c r="D12" s="7"/>
      <c r="E12" s="7" t="s">
        <v>45</v>
      </c>
      <c r="F12" s="9" t="s">
        <v>61</v>
      </c>
      <c r="G12" s="10"/>
      <c r="H12" s="11"/>
    </row>
    <row r="13" spans="1:8" ht="15.75" customHeight="1" x14ac:dyDescent="0.35">
      <c r="A13" s="7" t="s">
        <v>62</v>
      </c>
      <c r="B13" s="8" t="s">
        <v>63</v>
      </c>
      <c r="C13" s="7" t="s">
        <v>16</v>
      </c>
      <c r="D13" s="7"/>
      <c r="E13" s="7" t="s">
        <v>45</v>
      </c>
      <c r="F13" s="9" t="s">
        <v>64</v>
      </c>
      <c r="G13" s="10"/>
      <c r="H13" s="11"/>
    </row>
    <row r="14" spans="1:8" ht="15.75" customHeight="1" x14ac:dyDescent="0.35">
      <c r="A14" s="7" t="s">
        <v>65</v>
      </c>
      <c r="B14" s="8" t="s">
        <v>66</v>
      </c>
      <c r="C14" s="7" t="s">
        <v>16</v>
      </c>
      <c r="D14" s="7"/>
      <c r="E14" s="7" t="s">
        <v>45</v>
      </c>
      <c r="F14" s="9" t="s">
        <v>67</v>
      </c>
      <c r="G14" s="10"/>
      <c r="H14" s="11"/>
    </row>
    <row r="15" spans="1:8" ht="15.75" customHeight="1" x14ac:dyDescent="0.35">
      <c r="A15" s="7" t="s">
        <v>68</v>
      </c>
      <c r="B15" s="8" t="s">
        <v>69</v>
      </c>
      <c r="C15" s="7" t="s">
        <v>18</v>
      </c>
      <c r="D15" s="7"/>
      <c r="E15" s="7" t="s">
        <v>45</v>
      </c>
      <c r="F15" s="9" t="s">
        <v>70</v>
      </c>
      <c r="G15" s="10"/>
      <c r="H15" s="11"/>
    </row>
    <row r="16" spans="1:8" ht="15.75" customHeight="1" x14ac:dyDescent="0.35">
      <c r="A16" s="7" t="s">
        <v>71</v>
      </c>
      <c r="B16" s="8" t="s">
        <v>72</v>
      </c>
      <c r="C16" s="7" t="s">
        <v>18</v>
      </c>
      <c r="D16" s="7"/>
      <c r="E16" s="7" t="s">
        <v>45</v>
      </c>
      <c r="F16" s="9" t="s">
        <v>73</v>
      </c>
      <c r="G16" s="10"/>
      <c r="H16" s="11"/>
    </row>
    <row r="17" spans="1:8" ht="15.75" customHeight="1" x14ac:dyDescent="0.35">
      <c r="A17" s="7" t="s">
        <v>74</v>
      </c>
      <c r="B17" s="8" t="s">
        <v>75</v>
      </c>
      <c r="C17" s="7" t="s">
        <v>18</v>
      </c>
      <c r="D17" s="7"/>
      <c r="E17" s="7" t="s">
        <v>45</v>
      </c>
      <c r="F17" s="9" t="s">
        <v>76</v>
      </c>
      <c r="G17" s="10"/>
      <c r="H17" s="11"/>
    </row>
    <row r="18" spans="1:8" ht="15.75" customHeight="1" x14ac:dyDescent="0.35">
      <c r="A18" s="7" t="s">
        <v>77</v>
      </c>
      <c r="B18" s="8" t="s">
        <v>78</v>
      </c>
      <c r="C18" s="7" t="s">
        <v>18</v>
      </c>
      <c r="D18" s="7"/>
      <c r="E18" s="7" t="s">
        <v>45</v>
      </c>
      <c r="F18" s="9" t="s">
        <v>79</v>
      </c>
      <c r="G18" s="10"/>
      <c r="H18" s="11"/>
    </row>
    <row r="19" spans="1:8" ht="15.75" customHeight="1" x14ac:dyDescent="0.35">
      <c r="A19" s="7" t="s">
        <v>80</v>
      </c>
      <c r="B19" s="8" t="s">
        <v>81</v>
      </c>
      <c r="C19" s="7" t="s">
        <v>20</v>
      </c>
      <c r="D19" s="7"/>
      <c r="E19" s="7" t="s">
        <v>45</v>
      </c>
      <c r="F19" s="9" t="s">
        <v>82</v>
      </c>
      <c r="G19" s="10"/>
      <c r="H19" s="11"/>
    </row>
    <row r="20" spans="1:8" ht="15.75" customHeight="1" x14ac:dyDescent="0.35">
      <c r="A20" s="7" t="s">
        <v>83</v>
      </c>
      <c r="B20" s="8" t="s">
        <v>84</v>
      </c>
      <c r="C20" s="7" t="s">
        <v>20</v>
      </c>
      <c r="D20" s="7"/>
      <c r="E20" s="7" t="s">
        <v>45</v>
      </c>
      <c r="F20" s="9" t="s">
        <v>85</v>
      </c>
      <c r="G20" s="10"/>
      <c r="H20" s="11"/>
    </row>
    <row r="21" spans="1:8" ht="15.75" customHeight="1" x14ac:dyDescent="0.35">
      <c r="A21" s="7" t="s">
        <v>86</v>
      </c>
      <c r="B21" s="8" t="s">
        <v>87</v>
      </c>
      <c r="C21" s="7" t="s">
        <v>20</v>
      </c>
      <c r="D21" s="7"/>
      <c r="E21" s="7" t="s">
        <v>45</v>
      </c>
      <c r="F21" s="9" t="s">
        <v>88</v>
      </c>
      <c r="G21" s="10"/>
      <c r="H21" s="11"/>
    </row>
    <row r="22" spans="1:8" ht="15.75" customHeight="1" x14ac:dyDescent="0.35">
      <c r="A22" s="7" t="s">
        <v>89</v>
      </c>
      <c r="B22" s="8" t="s">
        <v>90</v>
      </c>
      <c r="C22" s="7" t="s">
        <v>20</v>
      </c>
      <c r="D22" s="7"/>
      <c r="E22" s="7" t="s">
        <v>45</v>
      </c>
      <c r="F22" s="9" t="s">
        <v>91</v>
      </c>
      <c r="G22" s="10"/>
      <c r="H22" s="11"/>
    </row>
    <row r="23" spans="1:8" ht="15.75" customHeight="1" x14ac:dyDescent="0.35">
      <c r="A23" s="7" t="s">
        <v>92</v>
      </c>
      <c r="B23" s="8" t="s">
        <v>93</v>
      </c>
      <c r="C23" s="7" t="s">
        <v>22</v>
      </c>
      <c r="D23" s="7" t="s">
        <v>94</v>
      </c>
      <c r="E23" s="7" t="s">
        <v>45</v>
      </c>
      <c r="F23" s="9" t="s">
        <v>95</v>
      </c>
      <c r="G23" s="10"/>
      <c r="H23" s="11"/>
    </row>
    <row r="24" spans="1:8" ht="15.75" customHeight="1" x14ac:dyDescent="0.35">
      <c r="A24" s="7" t="s">
        <v>96</v>
      </c>
      <c r="B24" s="8" t="s">
        <v>97</v>
      </c>
      <c r="C24" s="7" t="s">
        <v>22</v>
      </c>
      <c r="D24" s="7" t="s">
        <v>94</v>
      </c>
      <c r="E24" s="7" t="s">
        <v>45</v>
      </c>
      <c r="F24" s="9" t="s">
        <v>98</v>
      </c>
      <c r="G24" s="10"/>
      <c r="H24" s="11"/>
    </row>
    <row r="25" spans="1:8" ht="15.75" customHeight="1" x14ac:dyDescent="0.35">
      <c r="A25" s="7" t="s">
        <v>99</v>
      </c>
      <c r="B25" s="8" t="s">
        <v>100</v>
      </c>
      <c r="C25" s="7" t="s">
        <v>22</v>
      </c>
      <c r="D25" s="7" t="s">
        <v>101</v>
      </c>
      <c r="E25" s="7" t="s">
        <v>45</v>
      </c>
      <c r="F25" s="9" t="s">
        <v>102</v>
      </c>
      <c r="G25" s="10"/>
      <c r="H25" s="11"/>
    </row>
    <row r="26" spans="1:8" ht="15.75" customHeight="1" x14ac:dyDescent="0.35">
      <c r="A26" s="7" t="s">
        <v>103</v>
      </c>
      <c r="B26" s="8" t="s">
        <v>104</v>
      </c>
      <c r="C26" s="7" t="s">
        <v>22</v>
      </c>
      <c r="D26" s="7" t="s">
        <v>101</v>
      </c>
      <c r="E26" s="7" t="s">
        <v>45</v>
      </c>
      <c r="F26" s="9" t="s">
        <v>105</v>
      </c>
      <c r="G26" s="10"/>
      <c r="H26" s="11"/>
    </row>
    <row r="27" spans="1:8" ht="15.75" customHeight="1" x14ac:dyDescent="0.35">
      <c r="A27" s="7" t="s">
        <v>106</v>
      </c>
      <c r="B27" s="8" t="s">
        <v>107</v>
      </c>
      <c r="C27" s="7" t="s">
        <v>24</v>
      </c>
      <c r="D27" s="7"/>
      <c r="E27" s="7" t="s">
        <v>45</v>
      </c>
      <c r="F27" s="9" t="s">
        <v>108</v>
      </c>
      <c r="G27" s="10"/>
      <c r="H27" s="11"/>
    </row>
    <row r="28" spans="1:8" ht="15.75" customHeight="1" x14ac:dyDescent="0.35">
      <c r="A28" s="7" t="s">
        <v>109</v>
      </c>
      <c r="B28" s="8" t="s">
        <v>110</v>
      </c>
      <c r="C28" s="7" t="s">
        <v>24</v>
      </c>
      <c r="D28" s="7"/>
      <c r="E28" s="7" t="s">
        <v>45</v>
      </c>
      <c r="F28" s="9" t="s">
        <v>111</v>
      </c>
      <c r="G28" s="10"/>
      <c r="H28" s="11"/>
    </row>
    <row r="29" spans="1:8" ht="15.75" customHeight="1" x14ac:dyDescent="0.35">
      <c r="A29" s="7" t="s">
        <v>112</v>
      </c>
      <c r="B29" s="8" t="s">
        <v>113</v>
      </c>
      <c r="C29" s="7" t="s">
        <v>24</v>
      </c>
      <c r="D29" s="7"/>
      <c r="E29" s="7" t="s">
        <v>45</v>
      </c>
      <c r="F29" s="9" t="s">
        <v>114</v>
      </c>
      <c r="G29" s="10"/>
      <c r="H29" s="11"/>
    </row>
    <row r="30" spans="1:8" ht="15.75" customHeight="1" x14ac:dyDescent="0.35">
      <c r="A30" s="7" t="s">
        <v>115</v>
      </c>
      <c r="B30" s="8" t="s">
        <v>116</v>
      </c>
      <c r="C30" s="7" t="s">
        <v>24</v>
      </c>
      <c r="D30" s="7"/>
      <c r="E30" s="7" t="s">
        <v>45</v>
      </c>
      <c r="F30" s="9" t="s">
        <v>117</v>
      </c>
      <c r="G30" s="10"/>
      <c r="H30" s="11"/>
    </row>
    <row r="32" spans="1:8" x14ac:dyDescent="0.35">
      <c r="A32" s="3" t="s">
        <v>118</v>
      </c>
      <c r="B32" s="12" t="str">
        <f>COUNTIF(G7:G30,"yes")&amp;" of "&amp;24&amp;"  ("&amp;TEXT(COUNTIF(G7:G30,"yes")/24,"0%")&amp;" done)"</f>
        <v>0 of 24  (0% done)</v>
      </c>
    </row>
  </sheetData>
  <autoFilter ref="A6:H30" xr:uid="{00000000-0009-0000-0000-000001000000}"/>
  <phoneticPr fontId="9" type="noConversion"/>
  <dataValidations count="1">
    <dataValidation type="list" allowBlank="1" sqref="G7:G30" xr:uid="{00000000-0002-0000-0100-000000000000}">
      <formula1>"no,yes"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showGridLines="0" tabSelected="1" zoomScaleNormal="100" workbookViewId="0">
      <pane ySplit="6" topLeftCell="A7" activePane="bottomLeft" state="frozen"/>
      <selection pane="bottomLeft" activeCell="B21" sqref="B21"/>
    </sheetView>
  </sheetViews>
  <sheetFormatPr defaultColWidth="8.6328125" defaultRowHeight="14.5" x14ac:dyDescent="0.35"/>
  <cols>
    <col min="1" max="1" width="12" customWidth="1"/>
    <col min="2" max="2" width="62" customWidth="1"/>
    <col min="3" max="3" width="12" customWidth="1"/>
    <col min="4" max="4" width="16" customWidth="1"/>
    <col min="5" max="5" width="7" customWidth="1"/>
    <col min="6" max="6" width="32" customWidth="1"/>
    <col min="7" max="7" width="11" customWidth="1"/>
    <col min="8" max="8" width="24" customWidth="1"/>
  </cols>
  <sheetData>
    <row r="1" spans="1:8" ht="16.5" x14ac:dyDescent="0.35">
      <c r="A1" s="1" t="s">
        <v>119</v>
      </c>
    </row>
    <row r="2" spans="1:8" x14ac:dyDescent="0.35">
      <c r="A2" s="4" t="s">
        <v>32</v>
      </c>
    </row>
    <row r="3" spans="1:8" x14ac:dyDescent="0.35">
      <c r="A3" s="5" t="s">
        <v>33</v>
      </c>
    </row>
    <row r="4" spans="1:8" x14ac:dyDescent="0.35">
      <c r="A4" s="4" t="s">
        <v>34</v>
      </c>
    </row>
    <row r="6" spans="1:8" x14ac:dyDescent="0.35">
      <c r="A6" s="6" t="s">
        <v>35</v>
      </c>
      <c r="B6" s="6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6" t="s">
        <v>42</v>
      </c>
    </row>
    <row r="7" spans="1:8" ht="15.75" customHeight="1" x14ac:dyDescent="0.35">
      <c r="A7" s="7" t="s">
        <v>120</v>
      </c>
      <c r="B7" s="8" t="s">
        <v>121</v>
      </c>
      <c r="C7" s="7" t="s">
        <v>14</v>
      </c>
      <c r="D7" s="7"/>
      <c r="E7" s="7" t="s">
        <v>45</v>
      </c>
      <c r="F7" s="9" t="s">
        <v>122</v>
      </c>
      <c r="G7" s="10"/>
      <c r="H7" s="11"/>
    </row>
    <row r="8" spans="1:8" ht="15.75" customHeight="1" x14ac:dyDescent="0.35">
      <c r="A8" s="7" t="s">
        <v>123</v>
      </c>
      <c r="B8" s="8" t="s">
        <v>124</v>
      </c>
      <c r="C8" s="7" t="s">
        <v>14</v>
      </c>
      <c r="D8" s="7"/>
      <c r="E8" s="7" t="s">
        <v>45</v>
      </c>
      <c r="F8" s="9" t="s">
        <v>125</v>
      </c>
      <c r="G8" s="10"/>
      <c r="H8" s="11"/>
    </row>
    <row r="9" spans="1:8" ht="15.75" customHeight="1" x14ac:dyDescent="0.35">
      <c r="A9" s="7" t="s">
        <v>126</v>
      </c>
      <c r="B9" s="8" t="s">
        <v>127</v>
      </c>
      <c r="C9" s="7" t="s">
        <v>14</v>
      </c>
      <c r="D9" s="7"/>
      <c r="E9" s="7" t="s">
        <v>45</v>
      </c>
      <c r="F9" s="9" t="s">
        <v>128</v>
      </c>
      <c r="G9" s="10"/>
      <c r="H9" s="11"/>
    </row>
    <row r="10" spans="1:8" ht="15.75" customHeight="1" x14ac:dyDescent="0.35">
      <c r="A10" s="7" t="s">
        <v>129</v>
      </c>
      <c r="B10" s="8" t="s">
        <v>130</v>
      </c>
      <c r="C10" s="7" t="s">
        <v>14</v>
      </c>
      <c r="D10" s="7"/>
      <c r="E10" s="7" t="s">
        <v>45</v>
      </c>
      <c r="F10" s="9" t="s">
        <v>131</v>
      </c>
      <c r="G10" s="10"/>
      <c r="H10" s="11"/>
    </row>
    <row r="11" spans="1:8" ht="15.75" customHeight="1" x14ac:dyDescent="0.35">
      <c r="A11" s="7" t="s">
        <v>132</v>
      </c>
      <c r="B11" s="8" t="s">
        <v>133</v>
      </c>
      <c r="C11" s="7" t="s">
        <v>16</v>
      </c>
      <c r="D11" s="7"/>
      <c r="E11" s="7" t="s">
        <v>45</v>
      </c>
      <c r="F11" s="9" t="s">
        <v>134</v>
      </c>
      <c r="G11" s="10"/>
      <c r="H11" s="11"/>
    </row>
    <row r="12" spans="1:8" ht="15.75" customHeight="1" x14ac:dyDescent="0.35">
      <c r="A12" s="7" t="s">
        <v>135</v>
      </c>
      <c r="B12" s="8" t="s">
        <v>136</v>
      </c>
      <c r="C12" s="7" t="s">
        <v>16</v>
      </c>
      <c r="D12" s="7"/>
      <c r="E12" s="7" t="s">
        <v>45</v>
      </c>
      <c r="F12" s="9" t="s">
        <v>137</v>
      </c>
      <c r="G12" s="10"/>
      <c r="H12" s="11"/>
    </row>
    <row r="13" spans="1:8" ht="15.75" customHeight="1" x14ac:dyDescent="0.35">
      <c r="A13" s="7" t="s">
        <v>138</v>
      </c>
      <c r="B13" s="8" t="s">
        <v>139</v>
      </c>
      <c r="C13" s="7" t="s">
        <v>16</v>
      </c>
      <c r="D13" s="7"/>
      <c r="E13" s="7" t="s">
        <v>45</v>
      </c>
      <c r="F13" s="9" t="s">
        <v>140</v>
      </c>
      <c r="G13" s="10"/>
      <c r="H13" s="11"/>
    </row>
    <row r="14" spans="1:8" ht="15.75" customHeight="1" x14ac:dyDescent="0.35">
      <c r="A14" s="7" t="s">
        <v>141</v>
      </c>
      <c r="B14" s="8" t="s">
        <v>142</v>
      </c>
      <c r="C14" s="7" t="s">
        <v>16</v>
      </c>
      <c r="D14" s="7"/>
      <c r="E14" s="7" t="s">
        <v>45</v>
      </c>
      <c r="F14" s="9" t="s">
        <v>143</v>
      </c>
      <c r="G14" s="10"/>
      <c r="H14" s="11"/>
    </row>
    <row r="15" spans="1:8" ht="15.75" customHeight="1" x14ac:dyDescent="0.35">
      <c r="A15" s="7" t="s">
        <v>144</v>
      </c>
      <c r="B15" s="8" t="s">
        <v>145</v>
      </c>
      <c r="C15" s="7" t="s">
        <v>18</v>
      </c>
      <c r="D15" s="7"/>
      <c r="E15" s="7" t="s">
        <v>45</v>
      </c>
      <c r="F15" s="9" t="s">
        <v>146</v>
      </c>
      <c r="G15" s="10"/>
      <c r="H15" s="11"/>
    </row>
    <row r="16" spans="1:8" ht="15.75" customHeight="1" x14ac:dyDescent="0.35">
      <c r="A16" s="7" t="s">
        <v>147</v>
      </c>
      <c r="B16" s="8" t="s">
        <v>148</v>
      </c>
      <c r="C16" s="7" t="s">
        <v>18</v>
      </c>
      <c r="D16" s="7"/>
      <c r="E16" s="7" t="s">
        <v>45</v>
      </c>
      <c r="F16" s="9" t="s">
        <v>149</v>
      </c>
      <c r="G16" s="10"/>
      <c r="H16" s="11"/>
    </row>
    <row r="17" spans="1:8" ht="15.75" customHeight="1" x14ac:dyDescent="0.35">
      <c r="A17" s="7" t="s">
        <v>150</v>
      </c>
      <c r="B17" s="8" t="s">
        <v>151</v>
      </c>
      <c r="C17" s="7" t="s">
        <v>18</v>
      </c>
      <c r="D17" s="7"/>
      <c r="E17" s="7" t="s">
        <v>45</v>
      </c>
      <c r="F17" s="9" t="s">
        <v>152</v>
      </c>
      <c r="G17" s="10"/>
      <c r="H17" s="11"/>
    </row>
    <row r="18" spans="1:8" ht="15.75" customHeight="1" x14ac:dyDescent="0.35">
      <c r="A18" s="7" t="s">
        <v>153</v>
      </c>
      <c r="B18" s="8" t="s">
        <v>154</v>
      </c>
      <c r="C18" s="7" t="s">
        <v>18</v>
      </c>
      <c r="D18" s="7"/>
      <c r="E18" s="7" t="s">
        <v>45</v>
      </c>
      <c r="F18" s="9" t="s">
        <v>155</v>
      </c>
      <c r="G18" s="10"/>
      <c r="H18" s="11"/>
    </row>
    <row r="19" spans="1:8" ht="15.75" customHeight="1" x14ac:dyDescent="0.35">
      <c r="A19" s="7" t="s">
        <v>156</v>
      </c>
      <c r="B19" s="8" t="s">
        <v>157</v>
      </c>
      <c r="C19" s="7" t="s">
        <v>20</v>
      </c>
      <c r="D19" s="7"/>
      <c r="E19" s="7" t="s">
        <v>45</v>
      </c>
      <c r="F19" s="9" t="s">
        <v>158</v>
      </c>
      <c r="G19" s="10"/>
      <c r="H19" s="11"/>
    </row>
    <row r="20" spans="1:8" ht="15.75" customHeight="1" x14ac:dyDescent="0.35">
      <c r="A20" s="7" t="s">
        <v>159</v>
      </c>
      <c r="B20" s="13" t="s">
        <v>291</v>
      </c>
      <c r="C20" s="7" t="s">
        <v>20</v>
      </c>
      <c r="D20" s="7"/>
      <c r="E20" s="7" t="s">
        <v>45</v>
      </c>
      <c r="F20" s="9" t="s">
        <v>161</v>
      </c>
      <c r="G20" s="10"/>
      <c r="H20" s="11"/>
    </row>
    <row r="21" spans="1:8" ht="15.75" customHeight="1" x14ac:dyDescent="0.35">
      <c r="A21" s="7" t="s">
        <v>162</v>
      </c>
      <c r="B21" s="8" t="s">
        <v>163</v>
      </c>
      <c r="C21" s="7" t="s">
        <v>20</v>
      </c>
      <c r="D21" s="7"/>
      <c r="E21" s="7" t="s">
        <v>45</v>
      </c>
      <c r="F21" s="9" t="s">
        <v>164</v>
      </c>
      <c r="G21" s="10"/>
      <c r="H21" s="11"/>
    </row>
    <row r="22" spans="1:8" ht="15.75" customHeight="1" x14ac:dyDescent="0.35">
      <c r="A22" s="7" t="s">
        <v>165</v>
      </c>
      <c r="B22" s="8" t="s">
        <v>166</v>
      </c>
      <c r="C22" s="7" t="s">
        <v>20</v>
      </c>
      <c r="D22" s="7"/>
      <c r="E22" s="7" t="s">
        <v>45</v>
      </c>
      <c r="F22" s="9" t="s">
        <v>167</v>
      </c>
      <c r="G22" s="10"/>
      <c r="H22" s="11"/>
    </row>
    <row r="23" spans="1:8" ht="15.75" customHeight="1" x14ac:dyDescent="0.35">
      <c r="A23" s="7" t="s">
        <v>168</v>
      </c>
      <c r="B23" s="8" t="s">
        <v>169</v>
      </c>
      <c r="C23" s="7" t="s">
        <v>22</v>
      </c>
      <c r="D23" s="7" t="s">
        <v>101</v>
      </c>
      <c r="E23" s="7" t="s">
        <v>45</v>
      </c>
      <c r="F23" s="9" t="s">
        <v>170</v>
      </c>
      <c r="G23" s="10"/>
      <c r="H23" s="11"/>
    </row>
    <row r="24" spans="1:8" ht="15.75" customHeight="1" x14ac:dyDescent="0.35">
      <c r="A24" s="7" t="s">
        <v>171</v>
      </c>
      <c r="B24" s="8" t="s">
        <v>172</v>
      </c>
      <c r="C24" s="7" t="s">
        <v>22</v>
      </c>
      <c r="D24" s="7" t="s">
        <v>94</v>
      </c>
      <c r="E24" s="7" t="s">
        <v>45</v>
      </c>
      <c r="F24" s="9" t="s">
        <v>173</v>
      </c>
      <c r="G24" s="10"/>
      <c r="H24" s="11"/>
    </row>
    <row r="25" spans="1:8" ht="15.75" customHeight="1" x14ac:dyDescent="0.35">
      <c r="A25" s="7" t="s">
        <v>174</v>
      </c>
      <c r="B25" s="8" t="s">
        <v>175</v>
      </c>
      <c r="C25" s="7" t="s">
        <v>22</v>
      </c>
      <c r="D25" s="7" t="s">
        <v>94</v>
      </c>
      <c r="E25" s="7" t="s">
        <v>45</v>
      </c>
      <c r="F25" s="9" t="s">
        <v>176</v>
      </c>
      <c r="G25" s="10"/>
      <c r="H25" s="11"/>
    </row>
    <row r="26" spans="1:8" ht="15.75" customHeight="1" x14ac:dyDescent="0.35">
      <c r="A26" s="7" t="s">
        <v>177</v>
      </c>
      <c r="B26" s="8" t="s">
        <v>178</v>
      </c>
      <c r="C26" s="7" t="s">
        <v>22</v>
      </c>
      <c r="D26" s="7" t="s">
        <v>101</v>
      </c>
      <c r="E26" s="7" t="s">
        <v>45</v>
      </c>
      <c r="F26" s="9" t="s">
        <v>179</v>
      </c>
      <c r="G26" s="10"/>
      <c r="H26" s="11"/>
    </row>
    <row r="27" spans="1:8" ht="15.75" customHeight="1" x14ac:dyDescent="0.35">
      <c r="A27" s="7" t="s">
        <v>180</v>
      </c>
      <c r="B27" s="8" t="s">
        <v>181</v>
      </c>
      <c r="C27" s="7" t="s">
        <v>24</v>
      </c>
      <c r="D27" s="7"/>
      <c r="E27" s="7" t="s">
        <v>45</v>
      </c>
      <c r="F27" s="9" t="s">
        <v>182</v>
      </c>
      <c r="G27" s="10"/>
      <c r="H27" s="11"/>
    </row>
    <row r="28" spans="1:8" ht="15.75" customHeight="1" x14ac:dyDescent="0.35">
      <c r="A28" s="7" t="s">
        <v>183</v>
      </c>
      <c r="B28" s="8" t="s">
        <v>184</v>
      </c>
      <c r="C28" s="7" t="s">
        <v>24</v>
      </c>
      <c r="D28" s="7"/>
      <c r="E28" s="7" t="s">
        <v>45</v>
      </c>
      <c r="F28" s="9" t="s">
        <v>185</v>
      </c>
      <c r="G28" s="10"/>
      <c r="H28" s="11"/>
    </row>
    <row r="29" spans="1:8" ht="15.75" customHeight="1" x14ac:dyDescent="0.35">
      <c r="A29" s="7" t="s">
        <v>186</v>
      </c>
      <c r="B29" s="8" t="s">
        <v>187</v>
      </c>
      <c r="C29" s="7" t="s">
        <v>24</v>
      </c>
      <c r="D29" s="7"/>
      <c r="E29" s="7" t="s">
        <v>45</v>
      </c>
      <c r="F29" s="9" t="s">
        <v>188</v>
      </c>
      <c r="G29" s="10"/>
      <c r="H29" s="11"/>
    </row>
    <row r="30" spans="1:8" ht="15.75" customHeight="1" x14ac:dyDescent="0.35">
      <c r="A30" s="7" t="s">
        <v>189</v>
      </c>
      <c r="B30" s="8" t="s">
        <v>190</v>
      </c>
      <c r="C30" s="7" t="s">
        <v>24</v>
      </c>
      <c r="D30" s="7"/>
      <c r="E30" s="7" t="s">
        <v>45</v>
      </c>
      <c r="F30" s="9" t="s">
        <v>191</v>
      </c>
      <c r="G30" s="10"/>
      <c r="H30" s="11"/>
    </row>
    <row r="32" spans="1:8" x14ac:dyDescent="0.35">
      <c r="A32" s="3" t="s">
        <v>118</v>
      </c>
      <c r="B32" s="12" t="str">
        <f>COUNTIF(G7:G30,"yes")&amp;" of "&amp;24&amp;"  ("&amp;TEXT(COUNTIF(G7:G30,"yes")/24,"0%")&amp;" done)"</f>
        <v>0 of 24  (0% done)</v>
      </c>
    </row>
  </sheetData>
  <autoFilter ref="A6:H30" xr:uid="{00000000-0009-0000-0000-000002000000}"/>
  <phoneticPr fontId="9" type="noConversion"/>
  <dataValidations count="1">
    <dataValidation type="list" allowBlank="1" sqref="G7:G30" xr:uid="{00000000-0002-0000-0200-000000000000}">
      <formula1>"no,yes"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62" customWidth="1"/>
    <col min="3" max="3" width="12" customWidth="1"/>
    <col min="4" max="4" width="16" customWidth="1"/>
    <col min="5" max="5" width="7" customWidth="1"/>
    <col min="6" max="6" width="32" customWidth="1"/>
    <col min="7" max="7" width="11" customWidth="1"/>
    <col min="8" max="8" width="24" customWidth="1"/>
  </cols>
  <sheetData>
    <row r="1" spans="1:8" ht="16.5" x14ac:dyDescent="0.35">
      <c r="A1" s="1" t="s">
        <v>192</v>
      </c>
    </row>
    <row r="2" spans="1:8" x14ac:dyDescent="0.35">
      <c r="A2" s="4" t="s">
        <v>193</v>
      </c>
    </row>
    <row r="3" spans="1:8" x14ac:dyDescent="0.35">
      <c r="A3" s="5" t="s">
        <v>33</v>
      </c>
    </row>
    <row r="4" spans="1:8" x14ac:dyDescent="0.35">
      <c r="A4" s="4" t="s">
        <v>34</v>
      </c>
    </row>
    <row r="6" spans="1:8" x14ac:dyDescent="0.35">
      <c r="A6" s="6" t="s">
        <v>35</v>
      </c>
      <c r="B6" s="6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6" t="s">
        <v>42</v>
      </c>
    </row>
    <row r="7" spans="1:8" ht="15.75" customHeight="1" x14ac:dyDescent="0.35">
      <c r="A7" s="7" t="s">
        <v>194</v>
      </c>
      <c r="B7" s="8" t="s">
        <v>44</v>
      </c>
      <c r="C7" s="7" t="s">
        <v>14</v>
      </c>
      <c r="D7" s="7"/>
      <c r="E7" s="7" t="s">
        <v>195</v>
      </c>
      <c r="F7" s="9" t="s">
        <v>196</v>
      </c>
      <c r="G7" s="10"/>
      <c r="H7" s="11"/>
    </row>
    <row r="8" spans="1:8" ht="15.75" customHeight="1" x14ac:dyDescent="0.35">
      <c r="A8" s="7" t="s">
        <v>197</v>
      </c>
      <c r="B8" s="8" t="s">
        <v>48</v>
      </c>
      <c r="C8" s="7" t="s">
        <v>14</v>
      </c>
      <c r="D8" s="7"/>
      <c r="E8" s="7" t="s">
        <v>195</v>
      </c>
      <c r="F8" s="9" t="s">
        <v>198</v>
      </c>
      <c r="G8" s="10"/>
      <c r="H8" s="11"/>
    </row>
    <row r="9" spans="1:8" ht="15.75" customHeight="1" x14ac:dyDescent="0.35">
      <c r="A9" s="7" t="s">
        <v>199</v>
      </c>
      <c r="B9" s="8" t="s">
        <v>51</v>
      </c>
      <c r="C9" s="7" t="s">
        <v>14</v>
      </c>
      <c r="D9" s="7"/>
      <c r="E9" s="7" t="s">
        <v>195</v>
      </c>
      <c r="F9" s="9" t="s">
        <v>200</v>
      </c>
      <c r="G9" s="10"/>
      <c r="H9" s="11"/>
    </row>
    <row r="10" spans="1:8" ht="15.75" customHeight="1" x14ac:dyDescent="0.35">
      <c r="A10" s="7" t="s">
        <v>201</v>
      </c>
      <c r="B10" s="8" t="s">
        <v>54</v>
      </c>
      <c r="C10" s="7" t="s">
        <v>14</v>
      </c>
      <c r="D10" s="7"/>
      <c r="E10" s="7" t="s">
        <v>195</v>
      </c>
      <c r="F10" s="9" t="s">
        <v>202</v>
      </c>
      <c r="G10" s="10"/>
      <c r="H10" s="11"/>
    </row>
    <row r="11" spans="1:8" ht="15.75" customHeight="1" x14ac:dyDescent="0.35">
      <c r="A11" s="7" t="s">
        <v>203</v>
      </c>
      <c r="B11" s="8" t="s">
        <v>121</v>
      </c>
      <c r="C11" s="7" t="s">
        <v>14</v>
      </c>
      <c r="D11" s="7"/>
      <c r="E11" s="7" t="s">
        <v>195</v>
      </c>
      <c r="F11" s="9" t="s">
        <v>204</v>
      </c>
      <c r="G11" s="10"/>
      <c r="H11" s="11"/>
    </row>
    <row r="12" spans="1:8" ht="15.75" customHeight="1" x14ac:dyDescent="0.35">
      <c r="A12" s="7" t="s">
        <v>205</v>
      </c>
      <c r="B12" s="8" t="s">
        <v>124</v>
      </c>
      <c r="C12" s="7" t="s">
        <v>14</v>
      </c>
      <c r="D12" s="7"/>
      <c r="E12" s="7" t="s">
        <v>195</v>
      </c>
      <c r="F12" s="9" t="s">
        <v>206</v>
      </c>
      <c r="G12" s="10"/>
      <c r="H12" s="11"/>
    </row>
    <row r="13" spans="1:8" ht="15.75" customHeight="1" x14ac:dyDescent="0.35">
      <c r="A13" s="7" t="s">
        <v>207</v>
      </c>
      <c r="B13" s="8" t="s">
        <v>127</v>
      </c>
      <c r="C13" s="7" t="s">
        <v>14</v>
      </c>
      <c r="D13" s="7"/>
      <c r="E13" s="7" t="s">
        <v>195</v>
      </c>
      <c r="F13" s="9" t="s">
        <v>208</v>
      </c>
      <c r="G13" s="10"/>
      <c r="H13" s="11"/>
    </row>
    <row r="14" spans="1:8" ht="15.75" customHeight="1" x14ac:dyDescent="0.35">
      <c r="A14" s="7" t="s">
        <v>209</v>
      </c>
      <c r="B14" s="8" t="s">
        <v>130</v>
      </c>
      <c r="C14" s="7" t="s">
        <v>14</v>
      </c>
      <c r="D14" s="7"/>
      <c r="E14" s="7" t="s">
        <v>195</v>
      </c>
      <c r="F14" s="9" t="s">
        <v>210</v>
      </c>
      <c r="G14" s="10"/>
      <c r="H14" s="11"/>
    </row>
    <row r="15" spans="1:8" ht="15.75" customHeight="1" x14ac:dyDescent="0.35">
      <c r="A15" s="7" t="s">
        <v>211</v>
      </c>
      <c r="B15" s="8" t="s">
        <v>57</v>
      </c>
      <c r="C15" s="7" t="s">
        <v>16</v>
      </c>
      <c r="D15" s="7"/>
      <c r="E15" s="7" t="s">
        <v>195</v>
      </c>
      <c r="F15" s="9" t="s">
        <v>212</v>
      </c>
      <c r="G15" s="10"/>
      <c r="H15" s="11"/>
    </row>
    <row r="16" spans="1:8" ht="15.75" customHeight="1" x14ac:dyDescent="0.35">
      <c r="A16" s="7" t="s">
        <v>213</v>
      </c>
      <c r="B16" s="8" t="s">
        <v>60</v>
      </c>
      <c r="C16" s="7" t="s">
        <v>16</v>
      </c>
      <c r="D16" s="7"/>
      <c r="E16" s="7" t="s">
        <v>195</v>
      </c>
      <c r="F16" s="9" t="s">
        <v>214</v>
      </c>
      <c r="G16" s="10"/>
      <c r="H16" s="11"/>
    </row>
    <row r="17" spans="1:8" ht="15.75" customHeight="1" x14ac:dyDescent="0.35">
      <c r="A17" s="7" t="s">
        <v>215</v>
      </c>
      <c r="B17" s="8" t="s">
        <v>63</v>
      </c>
      <c r="C17" s="7" t="s">
        <v>16</v>
      </c>
      <c r="D17" s="7"/>
      <c r="E17" s="7" t="s">
        <v>195</v>
      </c>
      <c r="F17" s="9" t="s">
        <v>216</v>
      </c>
      <c r="G17" s="10"/>
      <c r="H17" s="11"/>
    </row>
    <row r="18" spans="1:8" ht="15.75" customHeight="1" x14ac:dyDescent="0.35">
      <c r="A18" s="7" t="s">
        <v>217</v>
      </c>
      <c r="B18" s="8" t="s">
        <v>66</v>
      </c>
      <c r="C18" s="7" t="s">
        <v>16</v>
      </c>
      <c r="D18" s="7"/>
      <c r="E18" s="7" t="s">
        <v>195</v>
      </c>
      <c r="F18" s="9" t="s">
        <v>218</v>
      </c>
      <c r="G18" s="10"/>
      <c r="H18" s="11"/>
    </row>
    <row r="19" spans="1:8" ht="15.75" customHeight="1" x14ac:dyDescent="0.35">
      <c r="A19" s="7" t="s">
        <v>219</v>
      </c>
      <c r="B19" s="8" t="s">
        <v>133</v>
      </c>
      <c r="C19" s="7" t="s">
        <v>16</v>
      </c>
      <c r="D19" s="7"/>
      <c r="E19" s="7" t="s">
        <v>195</v>
      </c>
      <c r="F19" s="9" t="s">
        <v>220</v>
      </c>
      <c r="G19" s="10"/>
      <c r="H19" s="11"/>
    </row>
    <row r="20" spans="1:8" ht="15.75" customHeight="1" x14ac:dyDescent="0.35">
      <c r="A20" s="7" t="s">
        <v>221</v>
      </c>
      <c r="B20" s="8" t="s">
        <v>136</v>
      </c>
      <c r="C20" s="7" t="s">
        <v>16</v>
      </c>
      <c r="D20" s="7"/>
      <c r="E20" s="7" t="s">
        <v>195</v>
      </c>
      <c r="F20" s="9" t="s">
        <v>222</v>
      </c>
      <c r="G20" s="10"/>
      <c r="H20" s="11"/>
    </row>
    <row r="21" spans="1:8" ht="15.75" customHeight="1" x14ac:dyDescent="0.35">
      <c r="A21" s="7" t="s">
        <v>223</v>
      </c>
      <c r="B21" s="8" t="s">
        <v>139</v>
      </c>
      <c r="C21" s="7" t="s">
        <v>16</v>
      </c>
      <c r="D21" s="7"/>
      <c r="E21" s="7" t="s">
        <v>195</v>
      </c>
      <c r="F21" s="9" t="s">
        <v>224</v>
      </c>
      <c r="G21" s="10"/>
      <c r="H21" s="11"/>
    </row>
    <row r="22" spans="1:8" ht="15.75" customHeight="1" x14ac:dyDescent="0.35">
      <c r="A22" s="7" t="s">
        <v>225</v>
      </c>
      <c r="B22" s="8" t="s">
        <v>142</v>
      </c>
      <c r="C22" s="7" t="s">
        <v>16</v>
      </c>
      <c r="D22" s="7"/>
      <c r="E22" s="7" t="s">
        <v>195</v>
      </c>
      <c r="F22" s="9" t="s">
        <v>226</v>
      </c>
      <c r="G22" s="10"/>
      <c r="H22" s="11"/>
    </row>
    <row r="23" spans="1:8" ht="15.75" customHeight="1" x14ac:dyDescent="0.35">
      <c r="A23" s="7" t="s">
        <v>227</v>
      </c>
      <c r="B23" s="8" t="s">
        <v>69</v>
      </c>
      <c r="C23" s="7" t="s">
        <v>18</v>
      </c>
      <c r="D23" s="7"/>
      <c r="E23" s="7" t="s">
        <v>195</v>
      </c>
      <c r="F23" s="9" t="s">
        <v>228</v>
      </c>
      <c r="G23" s="10"/>
      <c r="H23" s="11"/>
    </row>
    <row r="24" spans="1:8" ht="15.75" customHeight="1" x14ac:dyDescent="0.35">
      <c r="A24" s="7" t="s">
        <v>229</v>
      </c>
      <c r="B24" s="8" t="s">
        <v>72</v>
      </c>
      <c r="C24" s="7" t="s">
        <v>18</v>
      </c>
      <c r="D24" s="7"/>
      <c r="E24" s="7" t="s">
        <v>195</v>
      </c>
      <c r="F24" s="9" t="s">
        <v>230</v>
      </c>
      <c r="G24" s="10"/>
      <c r="H24" s="11"/>
    </row>
    <row r="25" spans="1:8" ht="15.75" customHeight="1" x14ac:dyDescent="0.35">
      <c r="A25" s="7" t="s">
        <v>231</v>
      </c>
      <c r="B25" s="8" t="s">
        <v>75</v>
      </c>
      <c r="C25" s="7" t="s">
        <v>18</v>
      </c>
      <c r="D25" s="7"/>
      <c r="E25" s="7" t="s">
        <v>195</v>
      </c>
      <c r="F25" s="9" t="s">
        <v>232</v>
      </c>
      <c r="G25" s="10"/>
      <c r="H25" s="11"/>
    </row>
    <row r="26" spans="1:8" ht="15.75" customHeight="1" x14ac:dyDescent="0.35">
      <c r="A26" s="7" t="s">
        <v>233</v>
      </c>
      <c r="B26" s="8" t="s">
        <v>78</v>
      </c>
      <c r="C26" s="7" t="s">
        <v>18</v>
      </c>
      <c r="D26" s="7"/>
      <c r="E26" s="7" t="s">
        <v>195</v>
      </c>
      <c r="F26" s="9" t="s">
        <v>234</v>
      </c>
      <c r="G26" s="10"/>
      <c r="H26" s="11"/>
    </row>
    <row r="27" spans="1:8" ht="15.75" customHeight="1" x14ac:dyDescent="0.35">
      <c r="A27" s="7" t="s">
        <v>235</v>
      </c>
      <c r="B27" s="8" t="s">
        <v>145</v>
      </c>
      <c r="C27" s="7" t="s">
        <v>18</v>
      </c>
      <c r="D27" s="7"/>
      <c r="E27" s="7" t="s">
        <v>195</v>
      </c>
      <c r="F27" s="9" t="s">
        <v>236</v>
      </c>
      <c r="G27" s="10"/>
      <c r="H27" s="11"/>
    </row>
    <row r="28" spans="1:8" ht="15.75" customHeight="1" x14ac:dyDescent="0.35">
      <c r="A28" s="7" t="s">
        <v>237</v>
      </c>
      <c r="B28" s="8" t="s">
        <v>148</v>
      </c>
      <c r="C28" s="7" t="s">
        <v>18</v>
      </c>
      <c r="D28" s="7"/>
      <c r="E28" s="7" t="s">
        <v>195</v>
      </c>
      <c r="F28" s="9" t="s">
        <v>238</v>
      </c>
      <c r="G28" s="10"/>
      <c r="H28" s="11"/>
    </row>
    <row r="29" spans="1:8" ht="15.75" customHeight="1" x14ac:dyDescent="0.35">
      <c r="A29" s="7" t="s">
        <v>239</v>
      </c>
      <c r="B29" s="8" t="s">
        <v>151</v>
      </c>
      <c r="C29" s="7" t="s">
        <v>18</v>
      </c>
      <c r="D29" s="7"/>
      <c r="E29" s="7" t="s">
        <v>195</v>
      </c>
      <c r="F29" s="9" t="s">
        <v>240</v>
      </c>
      <c r="G29" s="10"/>
      <c r="H29" s="11"/>
    </row>
    <row r="30" spans="1:8" ht="15.75" customHeight="1" x14ac:dyDescent="0.35">
      <c r="A30" s="7" t="s">
        <v>241</v>
      </c>
      <c r="B30" s="8" t="s">
        <v>154</v>
      </c>
      <c r="C30" s="7" t="s">
        <v>18</v>
      </c>
      <c r="D30" s="7"/>
      <c r="E30" s="7" t="s">
        <v>195</v>
      </c>
      <c r="F30" s="9" t="s">
        <v>242</v>
      </c>
      <c r="G30" s="10"/>
      <c r="H30" s="11"/>
    </row>
    <row r="31" spans="1:8" ht="15.75" customHeight="1" x14ac:dyDescent="0.35">
      <c r="A31" s="7" t="s">
        <v>243</v>
      </c>
      <c r="B31" s="8" t="s">
        <v>81</v>
      </c>
      <c r="C31" s="7" t="s">
        <v>20</v>
      </c>
      <c r="D31" s="7"/>
      <c r="E31" s="7" t="s">
        <v>195</v>
      </c>
      <c r="F31" s="9" t="s">
        <v>244</v>
      </c>
      <c r="G31" s="10"/>
      <c r="H31" s="11"/>
    </row>
    <row r="32" spans="1:8" ht="15.75" customHeight="1" x14ac:dyDescent="0.35">
      <c r="A32" s="7" t="s">
        <v>245</v>
      </c>
      <c r="B32" s="8" t="s">
        <v>84</v>
      </c>
      <c r="C32" s="7" t="s">
        <v>20</v>
      </c>
      <c r="D32" s="7"/>
      <c r="E32" s="7" t="s">
        <v>195</v>
      </c>
      <c r="F32" s="9" t="s">
        <v>246</v>
      </c>
      <c r="G32" s="10"/>
      <c r="H32" s="11"/>
    </row>
    <row r="33" spans="1:8" ht="15.75" customHeight="1" x14ac:dyDescent="0.35">
      <c r="A33" s="7" t="s">
        <v>247</v>
      </c>
      <c r="B33" s="8" t="s">
        <v>87</v>
      </c>
      <c r="C33" s="7" t="s">
        <v>20</v>
      </c>
      <c r="D33" s="7"/>
      <c r="E33" s="7" t="s">
        <v>195</v>
      </c>
      <c r="F33" s="9" t="s">
        <v>248</v>
      </c>
      <c r="G33" s="10"/>
      <c r="H33" s="11"/>
    </row>
    <row r="34" spans="1:8" ht="15.75" customHeight="1" x14ac:dyDescent="0.35">
      <c r="A34" s="7" t="s">
        <v>249</v>
      </c>
      <c r="B34" s="8" t="s">
        <v>90</v>
      </c>
      <c r="C34" s="7" t="s">
        <v>20</v>
      </c>
      <c r="D34" s="7"/>
      <c r="E34" s="7" t="s">
        <v>195</v>
      </c>
      <c r="F34" s="9" t="s">
        <v>250</v>
      </c>
      <c r="G34" s="10"/>
      <c r="H34" s="11"/>
    </row>
    <row r="35" spans="1:8" ht="15.75" customHeight="1" x14ac:dyDescent="0.35">
      <c r="A35" s="7" t="s">
        <v>251</v>
      </c>
      <c r="B35" s="8" t="s">
        <v>157</v>
      </c>
      <c r="C35" s="7" t="s">
        <v>20</v>
      </c>
      <c r="D35" s="7"/>
      <c r="E35" s="7" t="s">
        <v>195</v>
      </c>
      <c r="F35" s="9" t="s">
        <v>252</v>
      </c>
      <c r="G35" s="10"/>
      <c r="H35" s="11"/>
    </row>
    <row r="36" spans="1:8" ht="15.75" customHeight="1" x14ac:dyDescent="0.35">
      <c r="A36" s="7" t="s">
        <v>253</v>
      </c>
      <c r="B36" s="8" t="s">
        <v>160</v>
      </c>
      <c r="C36" s="7" t="s">
        <v>20</v>
      </c>
      <c r="D36" s="7"/>
      <c r="E36" s="7" t="s">
        <v>195</v>
      </c>
      <c r="F36" s="9" t="s">
        <v>254</v>
      </c>
      <c r="G36" s="10"/>
      <c r="H36" s="11"/>
    </row>
    <row r="37" spans="1:8" ht="15.75" customHeight="1" x14ac:dyDescent="0.35">
      <c r="A37" s="7" t="s">
        <v>255</v>
      </c>
      <c r="B37" s="8" t="s">
        <v>163</v>
      </c>
      <c r="C37" s="7" t="s">
        <v>20</v>
      </c>
      <c r="D37" s="7"/>
      <c r="E37" s="7" t="s">
        <v>195</v>
      </c>
      <c r="F37" s="9" t="s">
        <v>256</v>
      </c>
      <c r="G37" s="10"/>
      <c r="H37" s="11"/>
    </row>
    <row r="38" spans="1:8" ht="15.75" customHeight="1" x14ac:dyDescent="0.35">
      <c r="A38" s="7" t="s">
        <v>257</v>
      </c>
      <c r="B38" s="8" t="s">
        <v>166</v>
      </c>
      <c r="C38" s="7" t="s">
        <v>20</v>
      </c>
      <c r="D38" s="7"/>
      <c r="E38" s="7" t="s">
        <v>195</v>
      </c>
      <c r="F38" s="9" t="s">
        <v>258</v>
      </c>
      <c r="G38" s="10"/>
      <c r="H38" s="11"/>
    </row>
    <row r="39" spans="1:8" ht="15.75" customHeight="1" x14ac:dyDescent="0.35">
      <c r="A39" s="7" t="s">
        <v>259</v>
      </c>
      <c r="B39" s="8" t="s">
        <v>93</v>
      </c>
      <c r="C39" s="7" t="s">
        <v>22</v>
      </c>
      <c r="D39" s="7" t="s">
        <v>94</v>
      </c>
      <c r="E39" s="7" t="s">
        <v>195</v>
      </c>
      <c r="F39" s="9" t="s">
        <v>260</v>
      </c>
      <c r="G39" s="10"/>
      <c r="H39" s="11"/>
    </row>
    <row r="40" spans="1:8" ht="15.75" customHeight="1" x14ac:dyDescent="0.35">
      <c r="A40" s="7" t="s">
        <v>261</v>
      </c>
      <c r="B40" s="8" t="s">
        <v>97</v>
      </c>
      <c r="C40" s="7" t="s">
        <v>22</v>
      </c>
      <c r="D40" s="7" t="s">
        <v>94</v>
      </c>
      <c r="E40" s="7" t="s">
        <v>195</v>
      </c>
      <c r="F40" s="9" t="s">
        <v>262</v>
      </c>
      <c r="G40" s="10"/>
      <c r="H40" s="11"/>
    </row>
    <row r="41" spans="1:8" ht="15.75" customHeight="1" x14ac:dyDescent="0.35">
      <c r="A41" s="7" t="s">
        <v>263</v>
      </c>
      <c r="B41" s="8" t="s">
        <v>100</v>
      </c>
      <c r="C41" s="7" t="s">
        <v>22</v>
      </c>
      <c r="D41" s="7" t="s">
        <v>101</v>
      </c>
      <c r="E41" s="7" t="s">
        <v>195</v>
      </c>
      <c r="F41" s="9" t="s">
        <v>264</v>
      </c>
      <c r="G41" s="10"/>
      <c r="H41" s="11"/>
    </row>
    <row r="42" spans="1:8" ht="15.75" customHeight="1" x14ac:dyDescent="0.35">
      <c r="A42" s="7" t="s">
        <v>265</v>
      </c>
      <c r="B42" s="8" t="s">
        <v>104</v>
      </c>
      <c r="C42" s="7" t="s">
        <v>22</v>
      </c>
      <c r="D42" s="7" t="s">
        <v>101</v>
      </c>
      <c r="E42" s="7" t="s">
        <v>195</v>
      </c>
      <c r="F42" s="9" t="s">
        <v>266</v>
      </c>
      <c r="G42" s="10"/>
      <c r="H42" s="11"/>
    </row>
    <row r="43" spans="1:8" ht="15.75" customHeight="1" x14ac:dyDescent="0.35">
      <c r="A43" s="7" t="s">
        <v>267</v>
      </c>
      <c r="B43" s="8" t="s">
        <v>169</v>
      </c>
      <c r="C43" s="7" t="s">
        <v>22</v>
      </c>
      <c r="D43" s="7" t="s">
        <v>101</v>
      </c>
      <c r="E43" s="7" t="s">
        <v>195</v>
      </c>
      <c r="F43" s="9" t="s">
        <v>268</v>
      </c>
      <c r="G43" s="10"/>
      <c r="H43" s="11"/>
    </row>
    <row r="44" spans="1:8" ht="15.75" customHeight="1" x14ac:dyDescent="0.35">
      <c r="A44" s="7" t="s">
        <v>269</v>
      </c>
      <c r="B44" s="8" t="s">
        <v>172</v>
      </c>
      <c r="C44" s="7" t="s">
        <v>22</v>
      </c>
      <c r="D44" s="7" t="s">
        <v>94</v>
      </c>
      <c r="E44" s="7" t="s">
        <v>195</v>
      </c>
      <c r="F44" s="9" t="s">
        <v>270</v>
      </c>
      <c r="G44" s="10"/>
      <c r="H44" s="11"/>
    </row>
    <row r="45" spans="1:8" ht="15.75" customHeight="1" x14ac:dyDescent="0.35">
      <c r="A45" s="7" t="s">
        <v>271</v>
      </c>
      <c r="B45" s="8" t="s">
        <v>175</v>
      </c>
      <c r="C45" s="7" t="s">
        <v>22</v>
      </c>
      <c r="D45" s="7" t="s">
        <v>94</v>
      </c>
      <c r="E45" s="7" t="s">
        <v>195</v>
      </c>
      <c r="F45" s="9" t="s">
        <v>272</v>
      </c>
      <c r="G45" s="10"/>
      <c r="H45" s="11"/>
    </row>
    <row r="46" spans="1:8" ht="15.75" customHeight="1" x14ac:dyDescent="0.35">
      <c r="A46" s="7" t="s">
        <v>273</v>
      </c>
      <c r="B46" s="8" t="s">
        <v>178</v>
      </c>
      <c r="C46" s="7" t="s">
        <v>22</v>
      </c>
      <c r="D46" s="7" t="s">
        <v>101</v>
      </c>
      <c r="E46" s="7" t="s">
        <v>195</v>
      </c>
      <c r="F46" s="9" t="s">
        <v>274</v>
      </c>
      <c r="G46" s="10"/>
      <c r="H46" s="11"/>
    </row>
    <row r="47" spans="1:8" ht="15.75" customHeight="1" x14ac:dyDescent="0.35">
      <c r="A47" s="7" t="s">
        <v>275</v>
      </c>
      <c r="B47" s="8" t="s">
        <v>107</v>
      </c>
      <c r="C47" s="7" t="s">
        <v>24</v>
      </c>
      <c r="D47" s="7"/>
      <c r="E47" s="7" t="s">
        <v>195</v>
      </c>
      <c r="F47" s="9" t="s">
        <v>276</v>
      </c>
      <c r="G47" s="10"/>
      <c r="H47" s="11"/>
    </row>
    <row r="48" spans="1:8" ht="15.75" customHeight="1" x14ac:dyDescent="0.35">
      <c r="A48" s="7" t="s">
        <v>277</v>
      </c>
      <c r="B48" s="8" t="s">
        <v>110</v>
      </c>
      <c r="C48" s="7" t="s">
        <v>24</v>
      </c>
      <c r="D48" s="7"/>
      <c r="E48" s="7" t="s">
        <v>195</v>
      </c>
      <c r="F48" s="9" t="s">
        <v>278</v>
      </c>
      <c r="G48" s="10"/>
      <c r="H48" s="11"/>
    </row>
    <row r="49" spans="1:8" ht="15.75" customHeight="1" x14ac:dyDescent="0.35">
      <c r="A49" s="7" t="s">
        <v>279</v>
      </c>
      <c r="B49" s="8" t="s">
        <v>113</v>
      </c>
      <c r="C49" s="7" t="s">
        <v>24</v>
      </c>
      <c r="D49" s="7"/>
      <c r="E49" s="7" t="s">
        <v>195</v>
      </c>
      <c r="F49" s="9" t="s">
        <v>280</v>
      </c>
      <c r="G49" s="10"/>
      <c r="H49" s="11"/>
    </row>
    <row r="50" spans="1:8" ht="15.75" customHeight="1" x14ac:dyDescent="0.35">
      <c r="A50" s="7" t="s">
        <v>281</v>
      </c>
      <c r="B50" s="8" t="s">
        <v>116</v>
      </c>
      <c r="C50" s="7" t="s">
        <v>24</v>
      </c>
      <c r="D50" s="7"/>
      <c r="E50" s="7" t="s">
        <v>195</v>
      </c>
      <c r="F50" s="9" t="s">
        <v>282</v>
      </c>
      <c r="G50" s="10"/>
      <c r="H50" s="11"/>
    </row>
    <row r="51" spans="1:8" ht="15.75" customHeight="1" x14ac:dyDescent="0.35">
      <c r="A51" s="7" t="s">
        <v>283</v>
      </c>
      <c r="B51" s="8" t="s">
        <v>181</v>
      </c>
      <c r="C51" s="7" t="s">
        <v>24</v>
      </c>
      <c r="D51" s="7"/>
      <c r="E51" s="7" t="s">
        <v>195</v>
      </c>
      <c r="F51" s="9" t="s">
        <v>284</v>
      </c>
      <c r="G51" s="10"/>
      <c r="H51" s="11"/>
    </row>
    <row r="52" spans="1:8" ht="15.75" customHeight="1" x14ac:dyDescent="0.35">
      <c r="A52" s="7" t="s">
        <v>285</v>
      </c>
      <c r="B52" s="8" t="s">
        <v>184</v>
      </c>
      <c r="C52" s="7" t="s">
        <v>24</v>
      </c>
      <c r="D52" s="7"/>
      <c r="E52" s="7" t="s">
        <v>195</v>
      </c>
      <c r="F52" s="9" t="s">
        <v>286</v>
      </c>
      <c r="G52" s="10"/>
      <c r="H52" s="11"/>
    </row>
    <row r="53" spans="1:8" ht="15.75" customHeight="1" x14ac:dyDescent="0.35">
      <c r="A53" s="7" t="s">
        <v>287</v>
      </c>
      <c r="B53" s="8" t="s">
        <v>187</v>
      </c>
      <c r="C53" s="7" t="s">
        <v>24</v>
      </c>
      <c r="D53" s="7"/>
      <c r="E53" s="7" t="s">
        <v>195</v>
      </c>
      <c r="F53" s="9" t="s">
        <v>288</v>
      </c>
      <c r="G53" s="10"/>
      <c r="H53" s="11"/>
    </row>
    <row r="54" spans="1:8" ht="15.75" customHeight="1" x14ac:dyDescent="0.35">
      <c r="A54" s="7" t="s">
        <v>289</v>
      </c>
      <c r="B54" s="8" t="s">
        <v>190</v>
      </c>
      <c r="C54" s="7" t="s">
        <v>24</v>
      </c>
      <c r="D54" s="7"/>
      <c r="E54" s="7" t="s">
        <v>195</v>
      </c>
      <c r="F54" s="9" t="s">
        <v>290</v>
      </c>
      <c r="G54" s="10"/>
      <c r="H54" s="11"/>
    </row>
    <row r="56" spans="1:8" x14ac:dyDescent="0.35">
      <c r="A56" s="3" t="s">
        <v>118</v>
      </c>
      <c r="B56" s="12" t="str">
        <f>COUNTIF(G7:G54,"yes")&amp;" of "&amp;48&amp;"  ("&amp;TEXT(COUNTIF(G7:G54,"yes")/48,"0%")&amp;" done)"</f>
        <v>0 of 48  (0% done)</v>
      </c>
    </row>
  </sheetData>
  <autoFilter ref="A6:H54" xr:uid="{00000000-0009-0000-0000-000003000000}"/>
  <phoneticPr fontId="9" type="noConversion"/>
  <dataValidations count="1">
    <dataValidation type="list" allowBlank="1" sqref="G7:G54" xr:uid="{00000000-0002-0000-0300-000000000000}">
      <formula1>"no,yes"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Reference</vt:lpstr>
      <vt:lpstr>Yong Vay</vt:lpstr>
      <vt:lpstr>Pei Qi</vt:lpstr>
      <vt:lpstr>Phase 2 (reserve)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佩琦 张</cp:lastModifiedBy>
  <cp:revision>0</cp:revision>
  <dcterms:created xsi:type="dcterms:W3CDTF">2026-08-09T15:22:15Z</dcterms:created>
  <dcterms:modified xsi:type="dcterms:W3CDTF">2026-08-09T16:04:51Z</dcterms:modified>
  <dc:language>en-US</dc:language>
</cp:coreProperties>
</file>